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/>
  <mc:AlternateContent xmlns:mc="http://schemas.openxmlformats.org/markup-compatibility/2006">
    <mc:Choice Requires="x15">
      <x15ac:absPath xmlns:x15ac="http://schemas.microsoft.com/office/spreadsheetml/2010/11/ac" url="/Users/richardakole/Documents/Final-year-projects/PMIP/"/>
    </mc:Choice>
  </mc:AlternateContent>
  <xr:revisionPtr revIDLastSave="0" documentId="13_ncr:1_{2CD82A15-A591-C44E-A2DF-3676C6074B4A}" xr6:coauthVersionLast="47" xr6:coauthVersionMax="47" xr10:uidLastSave="{00000000-0000-0000-0000-000000000000}"/>
  <bookViews>
    <workbookView xWindow="15100" yWindow="660" windowWidth="15140" windowHeight="17260" xr2:uid="{00000000-000D-0000-FFFF-FFFF00000000}"/>
  </bookViews>
  <sheets>
    <sheet name="PMIP Gantt" sheetId="1" r:id="rId1"/>
    <sheet name="Milestone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4" i="1" l="1"/>
</calcChain>
</file>

<file path=xl/sharedStrings.xml><?xml version="1.0" encoding="utf-8"?>
<sst xmlns="http://schemas.openxmlformats.org/spreadsheetml/2006/main" count="140" uniqueCount="94">
  <si>
    <t>PMIP — Public Music Intelligence Platform | Gantt Chart</t>
  </si>
  <si>
    <t>Project Start</t>
  </si>
  <si>
    <t>Target Finish</t>
  </si>
  <si>
    <t>Tasks</t>
  </si>
  <si>
    <t>Complete</t>
  </si>
  <si>
    <t>In Progress</t>
  </si>
  <si>
    <t>Overall Progress</t>
  </si>
  <si>
    <t>Legend</t>
  </si>
  <si>
    <t>Not Started</t>
  </si>
  <si>
    <t>Phase</t>
  </si>
  <si>
    <t>Task</t>
  </si>
  <si>
    <t>Start</t>
  </si>
  <si>
    <t>End</t>
  </si>
  <si>
    <t>Status</t>
  </si>
  <si>
    <t>% Complete</t>
  </si>
  <si>
    <t>Planning &amp; Requirements</t>
  </si>
  <si>
    <t>Define PMIP concept, scope and intelligence objectives</t>
  </si>
  <si>
    <t>Data Acquisition</t>
  </si>
  <si>
    <t>Search, evaluate and download public music datasets</t>
  </si>
  <si>
    <t>Environment &amp; Version Control</t>
  </si>
  <si>
    <t>Set up project structure, Python environment and GitHub</t>
  </si>
  <si>
    <t>Data Exploration</t>
  </si>
  <si>
    <t>Explore all three datasets and test artist matching</t>
  </si>
  <si>
    <t>Data Cleaning</t>
  </si>
  <si>
    <t>Clean listeners dataset</t>
  </si>
  <si>
    <t>Clean cross-platform release dataset</t>
  </si>
  <si>
    <t>Clean 5.4M-row charts dataset using chunks</t>
  </si>
  <si>
    <t>Data Preparation</t>
  </si>
  <si>
    <t>Create processed datasets and quality checks</t>
  </si>
  <si>
    <t>Data Integration</t>
  </si>
  <si>
    <t>Design analytical schema and artist/track matching pipeline</t>
  </si>
  <si>
    <t>Build unified artist, track, market and platform tables</t>
  </si>
  <si>
    <t>EDA &amp; Visualisation</t>
  </si>
  <si>
    <t>Analyse trends, markets, releases and cross-platform relationships</t>
  </si>
  <si>
    <t>Feature Engineering</t>
  </si>
  <si>
    <t>Create artist momentum, growth and release features</t>
  </si>
  <si>
    <t>ML — Artist Momentum</t>
  </si>
  <si>
    <t>Build and evaluate artist momentum model</t>
  </si>
  <si>
    <t>ML — Forecasting</t>
  </si>
  <si>
    <t>Forecast streams and chart movement</t>
  </si>
  <si>
    <t>ML — Anomaly Detection</t>
  </si>
  <si>
    <t>Detect unusual performance spikes and drops</t>
  </si>
  <si>
    <t>ML — Geography</t>
  </si>
  <si>
    <t>Build listener geography intelligence</t>
  </si>
  <si>
    <t>ML — Market Growth</t>
  </si>
  <si>
    <t>Model market growth by country/region</t>
  </si>
  <si>
    <t>ML — Release Intelligence</t>
  </si>
  <si>
    <t>Build release intelligence scoring/model</t>
  </si>
  <si>
    <t>ML Evaluation</t>
  </si>
  <si>
    <t>Compare models, metrics and explainability</t>
  </si>
  <si>
    <t>Data Engineering Pipeline</t>
  </si>
  <si>
    <t>Automate ingestion, cleaning, validation and transformation</t>
  </si>
  <si>
    <t>Database &amp; API</t>
  </si>
  <si>
    <t>Design database and build analytics/ML API</t>
  </si>
  <si>
    <t>Public Website</t>
  </si>
  <si>
    <t>Build label, artist, release and news pages</t>
  </si>
  <si>
    <t>Analytics Dashboard</t>
  </si>
  <si>
    <t>Build charts, maps and intelligence dashboards</t>
  </si>
  <si>
    <t>Integration &amp; Testing</t>
  </si>
  <si>
    <t>Connect UI, API, database and models; test core flows</t>
  </si>
  <si>
    <t>Deployment</t>
  </si>
  <si>
    <t>Deploy PMIP production environment</t>
  </si>
  <si>
    <t>Documentation</t>
  </si>
  <si>
    <t>Complete README, architecture, data dictionary and portfolio case study</t>
  </si>
  <si>
    <t>Milestone</t>
  </si>
  <si>
    <t>Target Date</t>
  </si>
  <si>
    <t>Deliverable</t>
  </si>
  <si>
    <t>Notes</t>
  </si>
  <si>
    <t>Requirements &amp; scope locked</t>
  </si>
  <si>
    <t>PMIP requirements/specification</t>
  </si>
  <si>
    <t>Datasets acquired</t>
  </si>
  <si>
    <t>3 raw datasets stored locally</t>
  </si>
  <si>
    <t>Data exploration complete</t>
  </si>
  <si>
    <t>01_data_exploration.ipynb</t>
  </si>
  <si>
    <t>GitHub repository established</t>
  </si>
  <si>
    <t>PMIP GitHub repository</t>
  </si>
  <si>
    <t>Data cleaning complete</t>
  </si>
  <si>
    <t>02_data_cleaning.ipynb + processed data</t>
  </si>
  <si>
    <t>Unified analytical dataset ready</t>
  </si>
  <si>
    <t>Integrated analytical tables</t>
  </si>
  <si>
    <t>EDA &amp; feature engineering complete</t>
  </si>
  <si>
    <t>EDA + model-ready features</t>
  </si>
  <si>
    <t>All ML intelligence models evaluated</t>
  </si>
  <si>
    <t>Model metrics and explainability</t>
  </si>
  <si>
    <t>Automated data pipeline complete</t>
  </si>
  <si>
    <t>Reusable pipeline</t>
  </si>
  <si>
    <t>Backend/API complete</t>
  </si>
  <si>
    <t>Database + API</t>
  </si>
  <si>
    <t>Public website/dashboard complete</t>
  </si>
  <si>
    <t>PMIP web application</t>
  </si>
  <si>
    <t>Production deployment complete</t>
  </si>
  <si>
    <t>Live PMIP deployment</t>
  </si>
  <si>
    <t>Documentation complete</t>
  </si>
  <si>
    <t>README + architecture + portfolio case study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</si>
</sst>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d\-mmm\-yyyy"/>
    <numFmt numFmtId="165" formatCode="0&quot;%&quot;"/>
    <numFmt numFmtId="166" formatCode=";;;"/>
  </numFmts>
  <fonts count="4">
    <font>
      <sz val="11"/>
      <name val="Carlito"/>
    </font>
    <font>
      <b/>
      <sz val="16"/>
      <color rgb="FFFFFFFF"/>
      <name val="Carlito"/>
    </font>
    <font>
      <b/>
      <sz val="11"/>
      <color rgb="FFFFFFFF"/>
      <name val="Carlito"/>
    </font>
    <font>
      <b/>
      <sz val="11"/>
      <name val="Carlito"/>
    </font>
  </fonts>
  <fills count="8">
    <fill>
      <patternFill patternType="none"/>
    </fill>
    <fill>
      <patternFill patternType="gray125"/>
    </fill>
    <fill>
      <patternFill patternType="solid">
        <fgColor rgb="FF111827"/>
      </patternFill>
    </fill>
    <fill>
      <patternFill patternType="solid">
        <fgColor rgb="FF374151"/>
      </patternFill>
    </fill>
    <fill>
      <patternFill patternType="solid">
        <fgColor rgb="FF1F2937"/>
      </patternFill>
    </fill>
    <fill>
      <patternFill patternType="solid">
        <fgColor rgb="FF10B981"/>
      </patternFill>
    </fill>
    <fill>
      <patternFill patternType="solid">
        <fgColor rgb="FFF59E0B"/>
      </patternFill>
    </fill>
    <fill>
      <patternFill patternType="solid">
        <fgColor rgb="FF60A5FA"/>
      </patternFill>
    </fill>
  </fills>
  <borders count="9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27">
    <xf numFmtId="0" fontId="0" fillId="0" borderId="0" xfId="0"/>
    <xf numFmtId="0" fontId="2" fillId="3" borderId="0" xfId="0" applyFont="1" applyFill="1" applyAlignment="1">
      <alignment horizontal="center"/>
    </xf>
    <xf numFmtId="164" fontId="0" fillId="0" borderId="0" xfId="0" applyNumberFormat="1"/>
    <xf numFmtId="165" fontId="0" fillId="0" borderId="0" xfId="0" applyNumberFormat="1"/>
    <xf numFmtId="0" fontId="2" fillId="4" borderId="0" xfId="0" applyFont="1" applyFill="1" applyAlignment="1">
      <alignment horizontal="center" wrapText="1"/>
    </xf>
    <xf numFmtId="166" fontId="0" fillId="0" borderId="0" xfId="0" applyNumberFormat="1"/>
    <xf numFmtId="0" fontId="2" fillId="4" borderId="1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16" fontId="2" fillId="4" borderId="2" xfId="0" applyNumberFormat="1" applyFont="1" applyFill="1" applyBorder="1" applyAlignment="1">
      <alignment horizontal="center" vertical="center" wrapText="1"/>
    </xf>
    <xf numFmtId="16" fontId="2" fillId="4" borderId="3" xfId="0" applyNumberFormat="1" applyFont="1" applyFill="1" applyBorder="1" applyAlignment="1">
      <alignment horizontal="center" vertical="center" wrapText="1"/>
    </xf>
    <xf numFmtId="166" fontId="0" fillId="0" borderId="5" xfId="0" applyNumberFormat="1" applyBorder="1"/>
    <xf numFmtId="166" fontId="0" fillId="0" borderId="7" xfId="0" applyNumberFormat="1" applyBorder="1"/>
    <xf numFmtId="166" fontId="0" fillId="0" borderId="8" xfId="0" applyNumberFormat="1" applyBorder="1"/>
    <xf numFmtId="0" fontId="0" fillId="0" borderId="4" xfId="0" applyBorder="1" applyAlignment="1">
      <alignment wrapText="1"/>
    </xf>
    <xf numFmtId="0" fontId="0" fillId="0" borderId="0" xfId="0" applyAlignment="1">
      <alignment wrapText="1"/>
    </xf>
    <xf numFmtId="164" fontId="0" fillId="0" borderId="0" xfId="0" applyNumberFormat="1" applyAlignment="1">
      <alignment wrapText="1"/>
    </xf>
    <xf numFmtId="165" fontId="0" fillId="0" borderId="0" xfId="0" applyNumberFormat="1" applyAlignment="1">
      <alignment wrapText="1"/>
    </xf>
    <xf numFmtId="0" fontId="0" fillId="0" borderId="6" xfId="0" applyBorder="1" applyAlignment="1">
      <alignment wrapText="1"/>
    </xf>
    <xf numFmtId="0" fontId="0" fillId="0" borderId="7" xfId="0" applyBorder="1" applyAlignment="1">
      <alignment wrapText="1"/>
    </xf>
    <xf numFmtId="164" fontId="0" fillId="0" borderId="7" xfId="0" applyNumberFormat="1" applyBorder="1" applyAlignment="1">
      <alignment wrapText="1"/>
    </xf>
    <xf numFmtId="165" fontId="0" fillId="0" borderId="7" xfId="0" applyNumberFormat="1" applyBorder="1" applyAlignment="1">
      <alignment wrapText="1"/>
    </xf>
    <xf numFmtId="0" fontId="1" fillId="2" borderId="0" xfId="0" applyFont="1" applyFill="1" applyAlignment="1">
      <alignment horizontal="center" vertical="center"/>
    </xf>
    <xf numFmtId="0" fontId="0" fillId="0" borderId="0" xfId="0"/>
    <xf numFmtId="0" fontId="2" fillId="2" borderId="0" xfId="0" applyFont="1" applyFill="1" applyAlignment="1">
      <alignment horizontal="center"/>
    </xf>
    <xf numFmtId="0" fontId="3" fillId="5" borderId="0" xfId="0" applyFont="1" applyFill="1" applyAlignment="1">
      <alignment horizontal="center"/>
    </xf>
    <xf numFmtId="0" fontId="3" fillId="6" borderId="0" xfId="0" applyFont="1" applyFill="1" applyAlignment="1">
      <alignment horizontal="center"/>
    </xf>
    <xf numFmtId="0" fontId="3" fillId="7" borderId="0" xfId="0" applyFont="1" applyFill="1" applyAlignment="1">
      <alignment horizontal="center"/>
    </xf>
  </cellXfs>
  <cellStyles count="1">
    <cellStyle name="Normal" xfId="0" builtinId="0"/>
  </cellStyles>
  <dxfs count="11">
    <dxf>
      <font>
        <color rgb="FF1E40AF"/>
      </font>
      <fill>
        <patternFill patternType="solid">
          <bgColor rgb="FFDBEAFE"/>
        </patternFill>
      </fill>
    </dxf>
    <dxf>
      <font>
        <b/>
        <color rgb="FF92400E"/>
      </font>
      <fill>
        <patternFill patternType="solid">
          <bgColor rgb="FFFEF3C7"/>
        </patternFill>
      </fill>
    </dxf>
    <dxf>
      <font>
        <b/>
        <color rgb="FF065F46"/>
      </font>
      <fill>
        <patternFill patternType="solid">
          <bgColor rgb="FFD1FAE5"/>
        </patternFill>
      </fill>
    </dxf>
    <dxf>
      <fill>
        <patternFill patternType="solid">
          <bgColor rgb="FFEF4444"/>
        </patternFill>
      </fill>
    </dxf>
    <dxf>
      <fill>
        <patternFill patternType="solid">
          <bgColor rgb="FF60A5FA"/>
        </patternFill>
      </fill>
    </dxf>
    <dxf>
      <fill>
        <patternFill patternType="solid">
          <bgColor rgb="FFF59E0B"/>
        </patternFill>
      </fill>
    </dxf>
    <dxf>
      <fill>
        <patternFill patternType="solid">
          <bgColor rgb="FF10B981"/>
        </patternFill>
      </fill>
    </dxf>
    <dxf>
      <font>
        <b/>
        <color rgb="FF991B1B"/>
      </font>
      <fill>
        <patternFill patternType="solid">
          <bgColor rgb="FFFEE2E2"/>
        </patternFill>
      </fill>
    </dxf>
    <dxf>
      <font>
        <color rgb="FF1E40AF"/>
      </font>
      <fill>
        <patternFill patternType="solid">
          <bgColor rgb="FFDBEAFE"/>
        </patternFill>
      </fill>
    </dxf>
    <dxf>
      <font>
        <b/>
        <color rgb="FF92400E"/>
      </font>
      <fill>
        <patternFill patternType="solid">
          <bgColor rgb="FFFEF3C7"/>
        </patternFill>
      </fill>
    </dxf>
    <dxf>
      <font>
        <b/>
        <color rgb="FF065F46"/>
      </font>
      <fill>
        <patternFill patternType="solid">
          <bgColor rgb="FFD1FAE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33"/>
  <sheetViews>
    <sheetView tabSelected="1" workbookViewId="0">
      <selection activeCell="H12" sqref="H12"/>
    </sheetView>
  </sheetViews>
  <sheetFormatPr baseColWidth="10" defaultColWidth="8.83203125" defaultRowHeight="14"/>
  <cols>
    <col min="1" max="1" width="24" customWidth="1"/>
    <col min="2" max="2" width="44" customWidth="1"/>
    <col min="3" max="4" width="13" customWidth="1"/>
    <col min="5" max="5" width="14" customWidth="1"/>
    <col min="6" max="6" width="12" customWidth="1"/>
    <col min="7" max="29" width="5" customWidth="1"/>
  </cols>
  <sheetData>
    <row r="1" spans="1:29" ht="37.25" customHeight="1">
      <c r="A1" s="21" t="s">
        <v>0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  <c r="W1" s="22"/>
      <c r="X1" s="22"/>
      <c r="Y1" s="22"/>
      <c r="Z1" s="22"/>
      <c r="AA1" s="22"/>
      <c r="AB1" s="22"/>
      <c r="AC1" s="22"/>
    </row>
    <row r="3" spans="1:29" ht="15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H3" s="23" t="s">
        <v>7</v>
      </c>
      <c r="I3" s="23"/>
      <c r="J3" s="23"/>
      <c r="K3" s="23"/>
      <c r="L3" s="23"/>
      <c r="M3" s="23"/>
    </row>
    <row r="4" spans="1:29" ht="15">
      <c r="A4" s="2">
        <v>46258</v>
      </c>
      <c r="B4" s="2">
        <v>46411</v>
      </c>
      <c r="C4">
        <v>26</v>
      </c>
      <c r="D4">
        <v>4</v>
      </c>
      <c r="E4">
        <v>1</v>
      </c>
      <c r="F4" s="3">
        <f>ROUND(SUM(F8:F33)/COUNT(F8:F33),0)</f>
        <v>16</v>
      </c>
      <c r="H4" s="24" t="s">
        <v>4</v>
      </c>
      <c r="I4" s="24"/>
      <c r="J4" s="25" t="s">
        <v>5</v>
      </c>
      <c r="K4" s="25"/>
      <c r="L4" s="26" t="s">
        <v>8</v>
      </c>
      <c r="M4" s="26"/>
    </row>
    <row r="7" spans="1:29" ht="48" customHeight="1">
      <c r="A7" s="6" t="s">
        <v>9</v>
      </c>
      <c r="B7" s="7" t="s">
        <v>10</v>
      </c>
      <c r="C7" s="7" t="s">
        <v>11</v>
      </c>
      <c r="D7" s="7" t="s">
        <v>12</v>
      </c>
      <c r="E7" s="7" t="s">
        <v>13</v>
      </c>
      <c r="F7" s="7" t="s">
        <v>14</v>
      </c>
      <c r="G7" s="8">
        <v>46258</v>
      </c>
      <c r="H7" s="8">
        <v>46265</v>
      </c>
      <c r="I7" s="8">
        <v>46272</v>
      </c>
      <c r="J7" s="8">
        <v>46279</v>
      </c>
      <c r="K7" s="8">
        <v>46286</v>
      </c>
      <c r="L7" s="8">
        <v>46293</v>
      </c>
      <c r="M7" s="8">
        <v>46300</v>
      </c>
      <c r="N7" s="8">
        <v>46307</v>
      </c>
      <c r="O7" s="8">
        <v>46314</v>
      </c>
      <c r="P7" s="8">
        <v>46321</v>
      </c>
      <c r="Q7" s="8">
        <v>46328</v>
      </c>
      <c r="R7" s="8">
        <v>46335</v>
      </c>
      <c r="S7" s="8">
        <v>46342</v>
      </c>
      <c r="T7" s="8">
        <v>46349</v>
      </c>
      <c r="U7" s="8">
        <v>46356</v>
      </c>
      <c r="V7" s="8">
        <v>46363</v>
      </c>
      <c r="W7" s="8">
        <v>46370</v>
      </c>
      <c r="X7" s="8">
        <v>46377</v>
      </c>
      <c r="Y7" s="8">
        <v>46384</v>
      </c>
      <c r="Z7" s="8">
        <v>46391</v>
      </c>
      <c r="AA7" s="8">
        <v>46398</v>
      </c>
      <c r="AB7" s="8">
        <v>46405</v>
      </c>
      <c r="AC7" s="9">
        <v>46412</v>
      </c>
    </row>
    <row r="8" spans="1:29" ht="31">
      <c r="A8" s="13" t="s">
        <v>15</v>
      </c>
      <c r="B8" s="14" t="s">
        <v>16</v>
      </c>
      <c r="C8" s="15">
        <v>46258</v>
      </c>
      <c r="D8" s="15">
        <v>46258</v>
      </c>
      <c r="E8" s="14" t="s">
        <v>4</v>
      </c>
      <c r="F8" s="16">
        <v>100</v>
      </c>
      <c r="G8" s="5">
        <v>1</v>
      </c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10"/>
    </row>
    <row r="9" spans="1:29" ht="16">
      <c r="A9" s="13" t="s">
        <v>17</v>
      </c>
      <c r="B9" s="14" t="s">
        <v>18</v>
      </c>
      <c r="C9" s="15">
        <v>46258</v>
      </c>
      <c r="D9" s="15">
        <v>46259</v>
      </c>
      <c r="E9" s="14" t="s">
        <v>4</v>
      </c>
      <c r="F9" s="16">
        <v>100</v>
      </c>
      <c r="G9" s="5">
        <v>1</v>
      </c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10"/>
    </row>
    <row r="10" spans="1:29" ht="31">
      <c r="A10" s="13" t="s">
        <v>19</v>
      </c>
      <c r="B10" s="14" t="s">
        <v>20</v>
      </c>
      <c r="C10" s="15">
        <v>46259</v>
      </c>
      <c r="D10" s="15">
        <v>46260</v>
      </c>
      <c r="E10" s="14" t="s">
        <v>4</v>
      </c>
      <c r="F10" s="16">
        <v>100</v>
      </c>
      <c r="G10" s="5">
        <v>1</v>
      </c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10"/>
    </row>
    <row r="11" spans="1:29" ht="16">
      <c r="A11" s="13" t="s">
        <v>21</v>
      </c>
      <c r="B11" s="14" t="s">
        <v>22</v>
      </c>
      <c r="C11" s="15">
        <v>46259</v>
      </c>
      <c r="D11" s="15">
        <v>46260</v>
      </c>
      <c r="E11" s="14" t="s">
        <v>4</v>
      </c>
      <c r="F11" s="16">
        <v>100</v>
      </c>
      <c r="G11" s="5">
        <v>1</v>
      </c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10"/>
    </row>
    <row r="12" spans="1:29" ht="16">
      <c r="A12" s="13" t="s">
        <v>23</v>
      </c>
      <c r="B12" s="14" t="s">
        <v>24</v>
      </c>
      <c r="C12" s="15">
        <v>46260</v>
      </c>
      <c r="D12" s="15">
        <v>46263</v>
      </c>
      <c r="E12" s="14" t="s">
        <v>4</v>
      </c>
      <c r="F12" s="16">
        <v>10</v>
      </c>
      <c r="G12" s="5">
        <v>1</v>
      </c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10"/>
    </row>
    <row r="13" spans="1:29" ht="15">
      <c r="A13" s="13" t="s">
        <v>23</v>
      </c>
      <c r="B13" s="14" t="s">
        <v>25</v>
      </c>
      <c r="C13" s="15">
        <v>46263</v>
      </c>
      <c r="D13" s="15">
        <v>46268</v>
      </c>
      <c r="E13" s="14" t="s">
        <v>8</v>
      </c>
      <c r="F13" s="16">
        <v>1</v>
      </c>
      <c r="G13" s="5">
        <v>1</v>
      </c>
      <c r="H13" s="5">
        <v>1</v>
      </c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10"/>
    </row>
    <row r="14" spans="1:29" ht="15">
      <c r="A14" s="13" t="s">
        <v>23</v>
      </c>
      <c r="B14" s="14" t="s">
        <v>26</v>
      </c>
      <c r="C14" s="15">
        <v>46268</v>
      </c>
      <c r="D14" s="15">
        <v>46275</v>
      </c>
      <c r="E14" s="14" t="s">
        <v>8</v>
      </c>
      <c r="F14" s="16">
        <v>0</v>
      </c>
      <c r="G14" s="5"/>
      <c r="H14" s="5">
        <v>1</v>
      </c>
      <c r="I14" s="5">
        <v>1</v>
      </c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10"/>
    </row>
    <row r="15" spans="1:29" ht="15">
      <c r="A15" s="13" t="s">
        <v>27</v>
      </c>
      <c r="B15" s="14" t="s">
        <v>28</v>
      </c>
      <c r="C15" s="15">
        <v>46273</v>
      </c>
      <c r="D15" s="15">
        <v>46278</v>
      </c>
      <c r="E15" s="14" t="s">
        <v>8</v>
      </c>
      <c r="F15" s="16">
        <v>0</v>
      </c>
      <c r="G15" s="5"/>
      <c r="H15" s="5"/>
      <c r="I15" s="5">
        <v>1</v>
      </c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10"/>
    </row>
    <row r="16" spans="1:29" ht="30">
      <c r="A16" s="13" t="s">
        <v>29</v>
      </c>
      <c r="B16" s="14" t="s">
        <v>30</v>
      </c>
      <c r="C16" s="15">
        <v>46277</v>
      </c>
      <c r="D16" s="15">
        <v>46287</v>
      </c>
      <c r="E16" s="14" t="s">
        <v>8</v>
      </c>
      <c r="F16" s="16">
        <v>0</v>
      </c>
      <c r="G16" s="5"/>
      <c r="H16" s="5"/>
      <c r="I16" s="5">
        <v>1</v>
      </c>
      <c r="J16" s="5">
        <v>1</v>
      </c>
      <c r="K16" s="5">
        <v>1</v>
      </c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10"/>
    </row>
    <row r="17" spans="1:29" ht="15">
      <c r="A17" s="13" t="s">
        <v>29</v>
      </c>
      <c r="B17" s="14" t="s">
        <v>31</v>
      </c>
      <c r="C17" s="15">
        <v>46285</v>
      </c>
      <c r="D17" s="15">
        <v>46294</v>
      </c>
      <c r="E17" s="14" t="s">
        <v>8</v>
      </c>
      <c r="F17" s="16">
        <v>0</v>
      </c>
      <c r="G17" s="5"/>
      <c r="H17" s="5"/>
      <c r="I17" s="5"/>
      <c r="J17" s="5">
        <v>1</v>
      </c>
      <c r="K17" s="5">
        <v>1</v>
      </c>
      <c r="L17" s="5">
        <v>1</v>
      </c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10"/>
    </row>
    <row r="18" spans="1:29" ht="30">
      <c r="A18" s="13" t="s">
        <v>32</v>
      </c>
      <c r="B18" s="14" t="s">
        <v>33</v>
      </c>
      <c r="C18" s="15">
        <v>46293</v>
      </c>
      <c r="D18" s="15">
        <v>46304</v>
      </c>
      <c r="E18" s="14" t="s">
        <v>8</v>
      </c>
      <c r="F18" s="16">
        <v>0</v>
      </c>
      <c r="G18" s="5"/>
      <c r="H18" s="5"/>
      <c r="I18" s="5"/>
      <c r="J18" s="5"/>
      <c r="K18" s="5"/>
      <c r="L18" s="5">
        <v>1</v>
      </c>
      <c r="M18" s="5">
        <v>1</v>
      </c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10"/>
    </row>
    <row r="19" spans="1:29" ht="15">
      <c r="A19" s="13" t="s">
        <v>34</v>
      </c>
      <c r="B19" s="14" t="s">
        <v>35</v>
      </c>
      <c r="C19" s="15">
        <v>46302</v>
      </c>
      <c r="D19" s="15">
        <v>46313</v>
      </c>
      <c r="E19" s="14" t="s">
        <v>8</v>
      </c>
      <c r="F19" s="16">
        <v>0</v>
      </c>
      <c r="G19" s="5"/>
      <c r="H19" s="5"/>
      <c r="I19" s="5"/>
      <c r="J19" s="5"/>
      <c r="K19" s="5"/>
      <c r="L19" s="5"/>
      <c r="M19" s="5">
        <v>1</v>
      </c>
      <c r="N19" s="5">
        <v>1</v>
      </c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10"/>
    </row>
    <row r="20" spans="1:29" ht="15">
      <c r="A20" s="13" t="s">
        <v>36</v>
      </c>
      <c r="B20" s="14" t="s">
        <v>37</v>
      </c>
      <c r="C20" s="15">
        <v>46314</v>
      </c>
      <c r="D20" s="15">
        <v>46325</v>
      </c>
      <c r="E20" s="14" t="s">
        <v>8</v>
      </c>
      <c r="F20" s="16">
        <v>0</v>
      </c>
      <c r="G20" s="5"/>
      <c r="H20" s="5"/>
      <c r="I20" s="5"/>
      <c r="J20" s="5"/>
      <c r="K20" s="5"/>
      <c r="L20" s="5"/>
      <c r="M20" s="5"/>
      <c r="N20" s="5"/>
      <c r="O20" s="5">
        <v>1</v>
      </c>
      <c r="P20" s="5">
        <v>1</v>
      </c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10"/>
    </row>
    <row r="21" spans="1:29" ht="15">
      <c r="A21" s="13" t="s">
        <v>38</v>
      </c>
      <c r="B21" s="14" t="s">
        <v>39</v>
      </c>
      <c r="C21" s="15">
        <v>46321</v>
      </c>
      <c r="D21" s="15">
        <v>46332</v>
      </c>
      <c r="E21" s="14" t="s">
        <v>8</v>
      </c>
      <c r="F21" s="16">
        <v>0</v>
      </c>
      <c r="G21" s="5"/>
      <c r="H21" s="5"/>
      <c r="I21" s="5"/>
      <c r="J21" s="5"/>
      <c r="K21" s="5"/>
      <c r="L21" s="5"/>
      <c r="M21" s="5"/>
      <c r="N21" s="5"/>
      <c r="O21" s="5"/>
      <c r="P21" s="5">
        <v>1</v>
      </c>
      <c r="Q21" s="5">
        <v>1</v>
      </c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10"/>
    </row>
    <row r="22" spans="1:29" ht="15">
      <c r="A22" s="13" t="s">
        <v>40</v>
      </c>
      <c r="B22" s="14" t="s">
        <v>41</v>
      </c>
      <c r="C22" s="15">
        <v>46328</v>
      </c>
      <c r="D22" s="15">
        <v>46338</v>
      </c>
      <c r="E22" s="14" t="s">
        <v>8</v>
      </c>
      <c r="F22" s="16">
        <v>0</v>
      </c>
      <c r="G22" s="5"/>
      <c r="H22" s="5"/>
      <c r="I22" s="5"/>
      <c r="J22" s="5"/>
      <c r="K22" s="5"/>
      <c r="L22" s="5"/>
      <c r="M22" s="5"/>
      <c r="N22" s="5"/>
      <c r="O22" s="5"/>
      <c r="P22" s="5"/>
      <c r="Q22" s="5">
        <v>1</v>
      </c>
      <c r="R22" s="5">
        <v>1</v>
      </c>
      <c r="S22" s="5"/>
      <c r="T22" s="5"/>
      <c r="U22" s="5"/>
      <c r="V22" s="5"/>
      <c r="W22" s="5"/>
      <c r="X22" s="5"/>
      <c r="Y22" s="5"/>
      <c r="Z22" s="5"/>
      <c r="AA22" s="5"/>
      <c r="AB22" s="5"/>
      <c r="AC22" s="10"/>
    </row>
    <row r="23" spans="1:29" ht="15">
      <c r="A23" s="13" t="s">
        <v>42</v>
      </c>
      <c r="B23" s="14" t="s">
        <v>43</v>
      </c>
      <c r="C23" s="15">
        <v>46335</v>
      </c>
      <c r="D23" s="15">
        <v>46346</v>
      </c>
      <c r="E23" s="14" t="s">
        <v>8</v>
      </c>
      <c r="F23" s="16">
        <v>0</v>
      </c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>
        <v>1</v>
      </c>
      <c r="S23" s="5">
        <v>1</v>
      </c>
      <c r="T23" s="5"/>
      <c r="U23" s="5"/>
      <c r="V23" s="5"/>
      <c r="W23" s="5"/>
      <c r="X23" s="5"/>
      <c r="Y23" s="5"/>
      <c r="Z23" s="5"/>
      <c r="AA23" s="5"/>
      <c r="AB23" s="5"/>
      <c r="AC23" s="10"/>
    </row>
    <row r="24" spans="1:29" ht="15">
      <c r="A24" s="13" t="s">
        <v>44</v>
      </c>
      <c r="B24" s="14" t="s">
        <v>45</v>
      </c>
      <c r="C24" s="15">
        <v>46342</v>
      </c>
      <c r="D24" s="15">
        <v>46353</v>
      </c>
      <c r="E24" s="14" t="s">
        <v>8</v>
      </c>
      <c r="F24" s="16">
        <v>0</v>
      </c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>
        <v>1</v>
      </c>
      <c r="T24" s="5">
        <v>1</v>
      </c>
      <c r="U24" s="5"/>
      <c r="V24" s="5"/>
      <c r="W24" s="5"/>
      <c r="X24" s="5"/>
      <c r="Y24" s="5"/>
      <c r="Z24" s="5"/>
      <c r="AA24" s="5"/>
      <c r="AB24" s="5"/>
      <c r="AC24" s="10"/>
    </row>
    <row r="25" spans="1:29" ht="15">
      <c r="A25" s="13" t="s">
        <v>46</v>
      </c>
      <c r="B25" s="14" t="s">
        <v>47</v>
      </c>
      <c r="C25" s="15">
        <v>46349</v>
      </c>
      <c r="D25" s="15">
        <v>46360</v>
      </c>
      <c r="E25" s="14" t="s">
        <v>8</v>
      </c>
      <c r="F25" s="16">
        <v>0</v>
      </c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>
        <v>1</v>
      </c>
      <c r="U25" s="5">
        <v>1</v>
      </c>
      <c r="V25" s="5"/>
      <c r="W25" s="5"/>
      <c r="X25" s="5"/>
      <c r="Y25" s="5"/>
      <c r="Z25" s="5"/>
      <c r="AA25" s="5"/>
      <c r="AB25" s="5"/>
      <c r="AC25" s="10"/>
    </row>
    <row r="26" spans="1:29" ht="15">
      <c r="A26" s="13" t="s">
        <v>48</v>
      </c>
      <c r="B26" s="14" t="s">
        <v>49</v>
      </c>
      <c r="C26" s="15">
        <v>46357</v>
      </c>
      <c r="D26" s="15">
        <v>46364</v>
      </c>
      <c r="E26" s="14" t="s">
        <v>8</v>
      </c>
      <c r="F26" s="16">
        <v>0</v>
      </c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>
        <v>1</v>
      </c>
      <c r="V26" s="5">
        <v>1</v>
      </c>
      <c r="W26" s="5"/>
      <c r="X26" s="5"/>
      <c r="Y26" s="5"/>
      <c r="Z26" s="5"/>
      <c r="AA26" s="5"/>
      <c r="AB26" s="5"/>
      <c r="AC26" s="10"/>
    </row>
    <row r="27" spans="1:29" ht="30">
      <c r="A27" s="13" t="s">
        <v>50</v>
      </c>
      <c r="B27" s="14" t="s">
        <v>51</v>
      </c>
      <c r="C27" s="15">
        <v>46361</v>
      </c>
      <c r="D27" s="15">
        <v>46374</v>
      </c>
      <c r="E27" s="14" t="s">
        <v>8</v>
      </c>
      <c r="F27" s="16">
        <v>0</v>
      </c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>
        <v>1</v>
      </c>
      <c r="V27" s="5">
        <v>1</v>
      </c>
      <c r="W27" s="5">
        <v>1</v>
      </c>
      <c r="X27" s="5"/>
      <c r="Y27" s="5"/>
      <c r="Z27" s="5"/>
      <c r="AA27" s="5"/>
      <c r="AB27" s="5"/>
      <c r="AC27" s="10"/>
    </row>
    <row r="28" spans="1:29" ht="15">
      <c r="A28" s="13" t="s">
        <v>52</v>
      </c>
      <c r="B28" s="14" t="s">
        <v>53</v>
      </c>
      <c r="C28" s="15">
        <v>46370</v>
      </c>
      <c r="D28" s="15">
        <v>46386</v>
      </c>
      <c r="E28" s="14" t="s">
        <v>8</v>
      </c>
      <c r="F28" s="16">
        <v>0</v>
      </c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>
        <v>1</v>
      </c>
      <c r="X28" s="5">
        <v>1</v>
      </c>
      <c r="Y28" s="5">
        <v>1</v>
      </c>
      <c r="Z28" s="5"/>
      <c r="AA28" s="5"/>
      <c r="AB28" s="5"/>
      <c r="AC28" s="10"/>
    </row>
    <row r="29" spans="1:29" ht="15">
      <c r="A29" s="13" t="s">
        <v>54</v>
      </c>
      <c r="B29" s="14" t="s">
        <v>55</v>
      </c>
      <c r="C29" s="15">
        <v>46377</v>
      </c>
      <c r="D29" s="15">
        <v>46395</v>
      </c>
      <c r="E29" s="14" t="s">
        <v>8</v>
      </c>
      <c r="F29" s="16">
        <v>0</v>
      </c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>
        <v>1</v>
      </c>
      <c r="Y29" s="5">
        <v>1</v>
      </c>
      <c r="Z29" s="5">
        <v>1</v>
      </c>
      <c r="AA29" s="5"/>
      <c r="AB29" s="5"/>
      <c r="AC29" s="10"/>
    </row>
    <row r="30" spans="1:29" ht="15">
      <c r="A30" s="13" t="s">
        <v>56</v>
      </c>
      <c r="B30" s="14" t="s">
        <v>57</v>
      </c>
      <c r="C30" s="15">
        <v>46384</v>
      </c>
      <c r="D30" s="15">
        <v>46399</v>
      </c>
      <c r="E30" s="14" t="s">
        <v>8</v>
      </c>
      <c r="F30" s="16">
        <v>0</v>
      </c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>
        <v>1</v>
      </c>
      <c r="Z30" s="5">
        <v>1</v>
      </c>
      <c r="AA30" s="5">
        <v>1</v>
      </c>
      <c r="AB30" s="5"/>
      <c r="AC30" s="10"/>
    </row>
    <row r="31" spans="1:29" ht="15">
      <c r="A31" s="13" t="s">
        <v>58</v>
      </c>
      <c r="B31" s="14" t="s">
        <v>59</v>
      </c>
      <c r="C31" s="15">
        <v>46395</v>
      </c>
      <c r="D31" s="15">
        <v>46405</v>
      </c>
      <c r="E31" s="14" t="s">
        <v>8</v>
      </c>
      <c r="F31" s="16">
        <v>0</v>
      </c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>
        <v>1</v>
      </c>
      <c r="AA31" s="5">
        <v>1</v>
      </c>
      <c r="AB31" s="5">
        <v>1</v>
      </c>
      <c r="AC31" s="10"/>
    </row>
    <row r="32" spans="1:29" ht="15">
      <c r="A32" s="13" t="s">
        <v>60</v>
      </c>
      <c r="B32" s="14" t="s">
        <v>61</v>
      </c>
      <c r="C32" s="15">
        <v>46402</v>
      </c>
      <c r="D32" s="15">
        <v>46409</v>
      </c>
      <c r="E32" s="14" t="s">
        <v>8</v>
      </c>
      <c r="F32" s="16">
        <v>0</v>
      </c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>
        <v>1</v>
      </c>
      <c r="AB32" s="5">
        <v>1</v>
      </c>
      <c r="AC32" s="10"/>
    </row>
    <row r="33" spans="1:29" ht="30">
      <c r="A33" s="17" t="s">
        <v>62</v>
      </c>
      <c r="B33" s="18" t="s">
        <v>63</v>
      </c>
      <c r="C33" s="19">
        <v>46397</v>
      </c>
      <c r="D33" s="19">
        <v>46411</v>
      </c>
      <c r="E33" s="18" t="s">
        <v>8</v>
      </c>
      <c r="F33" s="20">
        <v>0</v>
      </c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>
        <v>1</v>
      </c>
      <c r="AA33" s="11">
        <v>1</v>
      </c>
      <c r="AB33" s="11">
        <v>1</v>
      </c>
      <c r="AC33" s="12"/>
    </row>
  </sheetData>
  <mergeCells count="5">
    <mergeCell ref="A1:AC1"/>
    <mergeCell ref="H3:M3"/>
    <mergeCell ref="H4:I4"/>
    <mergeCell ref="J4:K4"/>
    <mergeCell ref="L4:M4"/>
  </mergeCells>
  <conditionalFormatting sqref="E8:E33">
    <cfRule type="expression" dxfId="10" priority="5">
      <formula>E8="Complete"</formula>
    </cfRule>
    <cfRule type="expression" dxfId="9" priority="6">
      <formula>E8="In Progress"</formula>
    </cfRule>
    <cfRule type="expression" dxfId="8" priority="7">
      <formula>E8="Not Started"</formula>
    </cfRule>
    <cfRule type="expression" dxfId="7" priority="8">
      <formula>E8="Blocked"</formula>
    </cfRule>
  </conditionalFormatting>
  <conditionalFormatting sqref="F8:F33">
    <cfRule type="dataBar" priority="9">
      <dataBar>
        <cfvo type="min"/>
        <cfvo type="max"/>
        <color rgb="FF6366F1"/>
      </dataBar>
    </cfRule>
    <cfRule type="dataBar" priority="10">
      <dataBar>
        <cfvo type="min"/>
        <cfvo type="max"/>
        <color rgb="FF6366F1"/>
      </dataBar>
      <extLst>
        <ext xmlns:x14="http://schemas.microsoft.com/office/spreadsheetml/2009/9/main" uri="{B025F937-C7B1-47D3-B67F-A62EFF666E3E}">
          <x14:id>{74D6C706-2693-BB0E-3671-3E083DD10B10}</x14:id>
        </ext>
      </extLst>
    </cfRule>
  </conditionalFormatting>
  <conditionalFormatting sqref="G8:AC33">
    <cfRule type="expression" dxfId="6" priority="1">
      <formula>AND(G8=1,$E8="Complete")</formula>
    </cfRule>
    <cfRule type="expression" dxfId="5" priority="2">
      <formula>AND(G8=1,$E8="In Progress")</formula>
    </cfRule>
    <cfRule type="expression" dxfId="4" priority="3">
      <formula>AND(G8=1,$E8="Not Started")</formula>
    </cfRule>
    <cfRule type="expression" dxfId="3" priority="4">
      <formula>AND(G8=1,$E8="Blocked")</formula>
    </cfRule>
  </conditionalFormatting>
  <dataValidations count="1">
    <dataValidation type="list" sqref="E8:E33" xr:uid="{00000000-0002-0000-0000-000000000000}">
      <formula1>"Not Started,In Progress,Complete,Blocked"</formula1>
    </dataValidation>
  </dataValidations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74D6C706-2693-BB0E-3671-3E083DD10B10}">
            <x14:dataBar>
              <x14:cfvo type="min"/>
              <x14:cfvo type="max"/>
              <x14:negativeFillColor auto="1"/>
              <x14:axisColor auto="1"/>
            </x14:dataBar>
          </x14:cfRule>
          <xm:sqref>F8:F33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4"/>
  <sheetViews>
    <sheetView workbookViewId="0"/>
  </sheetViews>
  <sheetFormatPr baseColWidth="10" defaultColWidth="8.83203125" defaultRowHeight="14"/>
  <cols>
    <col min="1" max="1" width="34" customWidth="1"/>
    <col min="2" max="3" width="14" customWidth="1"/>
    <col min="4" max="4" width="12" customWidth="1"/>
    <col min="5" max="5" width="38" customWidth="1"/>
    <col min="6" max="6" width="30" customWidth="1"/>
  </cols>
  <sheetData>
    <row r="1" spans="1:6" ht="16">
      <c r="A1" s="4" t="s">
        <v>64</v>
      </c>
      <c r="B1" s="4" t="s">
        <v>65</v>
      </c>
      <c r="C1" s="4" t="s">
        <v>13</v>
      </c>
      <c r="D1" s="4" t="s">
        <v>14</v>
      </c>
      <c r="E1" s="4" t="s">
        <v>66</v>
      </c>
      <c r="F1" s="4" t="s">
        <v>67</v>
      </c>
    </row>
    <row r="2" spans="1:6">
      <c r="A2" t="s">
        <v>68</v>
      </c>
      <c r="B2" s="2">
        <v>46258</v>
      </c>
      <c r="C2" t="s">
        <v>4</v>
      </c>
      <c r="D2" s="3">
        <v>100</v>
      </c>
      <c r="E2" t="s">
        <v>69</v>
      </c>
    </row>
    <row r="3" spans="1:6">
      <c r="A3" t="s">
        <v>70</v>
      </c>
      <c r="B3" s="2">
        <v>46259</v>
      </c>
      <c r="C3" t="s">
        <v>4</v>
      </c>
      <c r="D3" s="3">
        <v>100</v>
      </c>
      <c r="E3" t="s">
        <v>71</v>
      </c>
    </row>
    <row r="4" spans="1:6">
      <c r="A4" t="s">
        <v>72</v>
      </c>
      <c r="B4" s="2">
        <v>46260</v>
      </c>
      <c r="C4" t="s">
        <v>4</v>
      </c>
      <c r="D4" s="3">
        <v>100</v>
      </c>
      <c r="E4" t="s">
        <v>73</v>
      </c>
    </row>
    <row r="5" spans="1:6">
      <c r="A5" t="s">
        <v>74</v>
      </c>
      <c r="B5" s="2">
        <v>46260</v>
      </c>
      <c r="C5" t="s">
        <v>4</v>
      </c>
      <c r="D5" s="3">
        <v>100</v>
      </c>
      <c r="E5" t="s">
        <v>75</v>
      </c>
    </row>
    <row r="6" spans="1:6">
      <c r="A6" t="s">
        <v>76</v>
      </c>
      <c r="B6" s="2">
        <v>46278</v>
      </c>
      <c r="C6" t="s">
        <v>5</v>
      </c>
      <c r="D6" s="3">
        <v>10</v>
      </c>
      <c r="E6" t="s">
        <v>77</v>
      </c>
    </row>
    <row r="7" spans="1:6">
      <c r="A7" t="s">
        <v>78</v>
      </c>
      <c r="B7" s="2">
        <v>46294</v>
      </c>
      <c r="C7" t="s">
        <v>8</v>
      </c>
      <c r="D7" s="3">
        <v>0</v>
      </c>
      <c r="E7" t="s">
        <v>79</v>
      </c>
    </row>
    <row r="8" spans="1:6">
      <c r="A8" t="s">
        <v>80</v>
      </c>
      <c r="B8" s="2">
        <v>46313</v>
      </c>
      <c r="C8" t="s">
        <v>8</v>
      </c>
      <c r="D8" s="3">
        <v>0</v>
      </c>
      <c r="E8" t="s">
        <v>81</v>
      </c>
    </row>
    <row r="9" spans="1:6">
      <c r="A9" t="s">
        <v>82</v>
      </c>
      <c r="B9" s="2">
        <v>46364</v>
      </c>
      <c r="C9" t="s">
        <v>8</v>
      </c>
      <c r="D9" s="3">
        <v>0</v>
      </c>
      <c r="E9" t="s">
        <v>83</v>
      </c>
    </row>
    <row r="10" spans="1:6">
      <c r="A10" t="s">
        <v>84</v>
      </c>
      <c r="B10" s="2">
        <v>46374</v>
      </c>
      <c r="C10" t="s">
        <v>8</v>
      </c>
      <c r="D10" s="3">
        <v>0</v>
      </c>
      <c r="E10" t="s">
        <v>85</v>
      </c>
    </row>
    <row r="11" spans="1:6">
      <c r="A11" t="s">
        <v>86</v>
      </c>
      <c r="B11" s="2">
        <v>46386</v>
      </c>
      <c r="C11" t="s">
        <v>8</v>
      </c>
      <c r="D11" s="3">
        <v>0</v>
      </c>
      <c r="E11" t="s">
        <v>87</v>
      </c>
    </row>
    <row r="12" spans="1:6">
      <c r="A12" t="s">
        <v>88</v>
      </c>
      <c r="B12" s="2">
        <v>46399</v>
      </c>
      <c r="C12" t="s">
        <v>8</v>
      </c>
      <c r="D12" s="3">
        <v>0</v>
      </c>
      <c r="E12" t="s">
        <v>89</v>
      </c>
    </row>
    <row r="13" spans="1:6">
      <c r="A13" t="s">
        <v>90</v>
      </c>
      <c r="B13" s="2">
        <v>46409</v>
      </c>
      <c r="C13" t="s">
        <v>8</v>
      </c>
      <c r="D13" s="3">
        <v>0</v>
      </c>
      <c r="E13" t="s">
        <v>91</v>
      </c>
    </row>
    <row r="14" spans="1:6">
      <c r="A14" t="s">
        <v>92</v>
      </c>
      <c r="B14" s="2">
        <v>46411</v>
      </c>
      <c r="C14" t="s">
        <v>8</v>
      </c>
      <c r="D14" s="3">
        <v>0</v>
      </c>
      <c r="E14" t="s">
        <v>93</v>
      </c>
    </row>
  </sheetData>
  <conditionalFormatting sqref="C2:C14">
    <cfRule type="expression" dxfId="2" priority="1">
      <formula>C2="Complete"</formula>
    </cfRule>
    <cfRule type="expression" dxfId="1" priority="2">
      <formula>C2="In Progress"</formula>
    </cfRule>
    <cfRule type="expression" dxfId="0" priority="3">
      <formula>C2="Not Started"</formula>
    </cfRule>
  </conditionalFormatting>
  <conditionalFormatting sqref="D2:D14">
    <cfRule type="dataBar" priority="4">
      <dataBar>
        <cfvo type="min"/>
        <cfvo type="max"/>
        <color rgb="FF6366F1"/>
      </dataBar>
    </cfRule>
    <cfRule type="dataBar" priority="5">
      <dataBar>
        <cfvo type="min"/>
        <cfvo type="max"/>
        <color rgb="FF6366F1"/>
      </dataBar>
      <extLst>
        <ext xmlns:x14="http://schemas.microsoft.com/office/spreadsheetml/2009/9/main" uri="{B025F937-C7B1-47D3-B67F-A62EFF666E3E}">
          <x14:id>{7E70F304-139B-506A-F031-B7523715D4C3}</x14:id>
        </ext>
      </extLst>
    </cfRule>
  </conditionalFormatting>
  <dataValidations count="1">
    <dataValidation type="list" sqref="C2:C14" xr:uid="{00000000-0002-0000-0100-000000000000}">
      <formula1>"Not Started,In Progress,Complete,Blocked"</formula1>
    </dataValidation>
  </dataValidations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7E70F304-139B-506A-F031-B7523715D4C3}">
            <x14:dataBar>
              <x14:cfvo type="min"/>
              <x14:cfvo type="max"/>
              <x14:negativeFillColor auto="1"/>
              <x14:axisColor auto="1"/>
            </x14:dataBar>
          </x14:cfRule>
          <xm:sqref>D2:D14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PMIP Gantt</vt:lpstr>
      <vt:lpstr>Milestones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Akole Richard (Student)</cp:lastModifiedBy>
  <dcterms:modified xsi:type="dcterms:W3CDTF">2026-08-26T22:14:45Z</dcterms:modified>
</cp:coreProperties>
</file>